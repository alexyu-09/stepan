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alexanderyushchenko/Downloads/"/>
    </mc:Choice>
  </mc:AlternateContent>
  <xr:revisionPtr revIDLastSave="0" documentId="13_ncr:1_{00010DBF-5C3D-944E-91C9-CD83881D0D4D}" xr6:coauthVersionLast="47" xr6:coauthVersionMax="47" xr10:uidLastSave="{00000000-0000-0000-0000-000000000000}"/>
  <bookViews>
    <workbookView xWindow="0" yWindow="600" windowWidth="38400" windowHeight="1994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K29" i="1" s="1"/>
  <c r="L29" i="1" s="1"/>
  <c r="J28" i="1"/>
  <c r="K28" i="1" s="1"/>
  <c r="L28" i="1" s="1"/>
  <c r="J27" i="1"/>
  <c r="K27" i="1" s="1"/>
  <c r="L27" i="1" s="1"/>
  <c r="J26" i="1"/>
  <c r="K26" i="1" s="1"/>
  <c r="L26" i="1" s="1"/>
  <c r="J25" i="1"/>
  <c r="K25" i="1" s="1"/>
  <c r="L25" i="1" s="1"/>
  <c r="J24" i="1"/>
  <c r="K24" i="1" s="1"/>
  <c r="L24" i="1" s="1"/>
  <c r="J23" i="1"/>
  <c r="K23" i="1" s="1"/>
  <c r="L23" i="1" s="1"/>
  <c r="J22" i="1"/>
  <c r="K22" i="1" s="1"/>
  <c r="L22" i="1" s="1"/>
  <c r="J21" i="1"/>
  <c r="K21" i="1" s="1"/>
  <c r="L21" i="1" s="1"/>
  <c r="J20" i="1"/>
  <c r="K20" i="1" s="1"/>
  <c r="L20" i="1" s="1"/>
  <c r="J19" i="1"/>
  <c r="K19" i="1" s="1"/>
  <c r="L19" i="1" s="1"/>
  <c r="J18" i="1"/>
  <c r="K18" i="1" s="1"/>
  <c r="L18" i="1" s="1"/>
  <c r="K17" i="1"/>
  <c r="L17" i="1" s="1"/>
  <c r="J17" i="1"/>
  <c r="J16" i="1"/>
  <c r="K16" i="1" s="1"/>
  <c r="L16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K10" i="1"/>
  <c r="L10" i="1" s="1"/>
  <c r="J10" i="1"/>
  <c r="J9" i="1"/>
  <c r="K9" i="1" s="1"/>
  <c r="L9" i="1" s="1"/>
  <c r="J8" i="1"/>
  <c r="K8" i="1" s="1"/>
  <c r="L8" i="1" s="1"/>
  <c r="J7" i="1"/>
  <c r="K7" i="1" s="1"/>
  <c r="L7" i="1" s="1"/>
  <c r="J6" i="1"/>
  <c r="K6" i="1" s="1"/>
  <c r="L6" i="1" s="1"/>
  <c r="J5" i="1"/>
  <c r="K5" i="1" s="1"/>
  <c r="L5" i="1" s="1"/>
  <c r="J4" i="1"/>
  <c r="K4" i="1" s="1"/>
  <c r="L4" i="1" s="1"/>
  <c r="J3" i="1"/>
  <c r="K3" i="1" s="1"/>
  <c r="L3" i="1" s="1"/>
</calcChain>
</file>

<file path=xl/sharedStrings.xml><?xml version="1.0" encoding="utf-8"?>
<sst xmlns="http://schemas.openxmlformats.org/spreadsheetml/2006/main" count="96" uniqueCount="90">
  <si>
    <t>данні постачальника</t>
  </si>
  <si>
    <t>Арт</t>
  </si>
  <si>
    <t>Назва</t>
  </si>
  <si>
    <t>ціна</t>
  </si>
  <si>
    <t>гурт</t>
  </si>
  <si>
    <t>дол</t>
  </si>
  <si>
    <t>гурт від</t>
  </si>
  <si>
    <t>Наявність</t>
  </si>
  <si>
    <t>націнка</t>
  </si>
  <si>
    <t>Цена для САЙТА</t>
  </si>
  <si>
    <t>прибіль</t>
  </si>
  <si>
    <t>процент прибили от оборота</t>
  </si>
  <si>
    <t>Вага в упаковці</t>
  </si>
  <si>
    <t>Глибина в упаковці (см)</t>
  </si>
  <si>
    <t>Висота в упаковці (см)</t>
  </si>
  <si>
    <t>Призначення</t>
  </si>
  <si>
    <t>Артикул</t>
  </si>
  <si>
    <t>Країна-виробник</t>
  </si>
  <si>
    <t>Гарантія</t>
  </si>
  <si>
    <t>Вид</t>
  </si>
  <si>
    <t>Кількість грузових місць</t>
  </si>
  <si>
    <t>Ширина в упаковке (см)</t>
  </si>
  <si>
    <t>Розмір</t>
  </si>
  <si>
    <t>HW3011X8-A-CCW</t>
  </si>
  <si>
    <r>
      <rPr>
        <sz val="12"/>
        <color theme="1"/>
        <rFont val="Arial"/>
        <family val="2"/>
      </rPr>
      <t xml:space="preserve">Пропелер складаний Hobbywing MPF3011 з адаптером для Xrotor X8 (CCW) </t>
    </r>
    <r>
      <rPr>
        <b/>
        <sz val="12"/>
        <color theme="1"/>
        <rFont val="Arial"/>
        <family val="2"/>
      </rPr>
      <t>з ПДВ</t>
    </r>
  </si>
  <si>
    <t>HW3011X8-A-CW</t>
  </si>
  <si>
    <r>
      <rPr>
        <sz val="12"/>
        <color theme="1"/>
        <rFont val="Arial"/>
        <family val="2"/>
      </rPr>
      <t xml:space="preserve">Пропелер складаний Hobbywing MPF3011 з адаптером для Xrotor X8 (CW) </t>
    </r>
    <r>
      <rPr>
        <b/>
        <sz val="12"/>
        <color theme="1"/>
        <rFont val="Arial"/>
        <family val="2"/>
      </rPr>
      <t>з ПДВ</t>
    </r>
  </si>
  <si>
    <t>Регулятор живлення</t>
  </si>
  <si>
    <t>UBEC-3A-6S</t>
  </si>
  <si>
    <r>
      <rPr>
        <sz val="12"/>
        <color theme="1"/>
        <rFont val="Arial"/>
        <family val="2"/>
      </rPr>
      <t xml:space="preserve">Регулятор живлення HOBBYWING UBEC 3A V2 6S з </t>
    </r>
    <r>
      <rPr>
        <b/>
        <sz val="12"/>
        <color theme="1"/>
        <rFont val="Arial"/>
        <family val="2"/>
      </rPr>
      <t>ПДВ</t>
    </r>
  </si>
  <si>
    <t>UBEC-10A-HV(3-14S)-V1</t>
  </si>
  <si>
    <r>
      <rPr>
        <sz val="12"/>
        <color theme="1"/>
        <rFont val="Arial"/>
        <family val="2"/>
      </rPr>
      <t xml:space="preserve">Регулятор живлення HOBBYWING UBEC 10A V1 3-14S з </t>
    </r>
    <r>
      <rPr>
        <b/>
        <sz val="12"/>
        <color theme="1"/>
        <rFont val="Arial"/>
        <family val="2"/>
      </rPr>
      <t>ПДВ</t>
    </r>
  </si>
  <si>
    <t>UBEC-25A-HV(3-18S)-V1</t>
  </si>
  <si>
    <r>
      <rPr>
        <sz val="12"/>
        <color theme="1"/>
        <rFont val="Arial"/>
        <family val="2"/>
      </rPr>
      <t xml:space="preserve">Регулятор живлення HOBBYWING UBEC 25A 3-18S з </t>
    </r>
    <r>
      <rPr>
        <b/>
        <sz val="12"/>
        <color theme="1"/>
        <rFont val="Arial"/>
        <family val="2"/>
      </rPr>
      <t>ПДВ</t>
    </r>
  </si>
  <si>
    <t>IFL-B012912</t>
  </si>
  <si>
    <t>Регулятор живлення iFlight BEC 2-8S 5V12V/2A</t>
  </si>
  <si>
    <t>.000001990</t>
  </si>
  <si>
    <t>Регулятор живлення BEC 6-30V - 5V9V 3 шт</t>
  </si>
  <si>
    <t>MATEK-MBEC6S</t>
  </si>
  <si>
    <t>Регулятор живлення Matek BEC 6-30V - 5V9V 3 шт</t>
  </si>
  <si>
    <t>MATEK-MBEC12S</t>
  </si>
  <si>
    <t>Регулятор живлення Matek BEC 12S 6-60V - 5V/9V/12V 3A</t>
  </si>
  <si>
    <t>MATEK-BEC12S-PRO</t>
  </si>
  <si>
    <t>Регулятор живлення Matek BEC 12S PRO 9-55V - 5V/8V/12V 5A</t>
  </si>
  <si>
    <t>Регулятор ходу</t>
  </si>
  <si>
    <t>MED000937</t>
  </si>
  <si>
    <r>
      <rPr>
        <sz val="12"/>
        <color theme="1"/>
        <rFont val="Arial"/>
        <family val="2"/>
      </rPr>
      <t xml:space="preserve">Регулятор ходу HOBBYWING XRotor 40A OPTO 2-6S no BEC з </t>
    </r>
    <r>
      <rPr>
        <b/>
        <sz val="12"/>
        <color theme="1"/>
        <rFont val="Arial"/>
        <family val="2"/>
      </rPr>
      <t>ПДВ</t>
    </r>
  </si>
  <si>
    <t>PLATINUM-80A-V5</t>
  </si>
  <si>
    <r>
      <rPr>
        <sz val="12"/>
        <color theme="1"/>
        <rFont val="Arial"/>
        <family val="2"/>
      </rPr>
      <t xml:space="preserve">Регулятор ходу HOBBYWING PLATINUM V5 80A 3-8S з </t>
    </r>
    <r>
      <rPr>
        <b/>
        <sz val="12"/>
        <color theme="1"/>
        <rFont val="Arial"/>
        <family val="2"/>
      </rPr>
      <t>ПДВ</t>
    </r>
  </si>
  <si>
    <t xml:space="preserve">SKYWALKER-40A-4S-V2
</t>
  </si>
  <si>
    <r>
      <rPr>
        <sz val="12"/>
        <color theme="1"/>
        <rFont val="Arial"/>
        <family val="2"/>
      </rPr>
      <t xml:space="preserve">Регулятор ходу HOBBYWING SKYWALKER V2 40A 3-4S з </t>
    </r>
    <r>
      <rPr>
        <b/>
        <sz val="12"/>
        <color theme="1"/>
        <rFont val="Arial"/>
        <family val="2"/>
      </rPr>
      <t>ПДВ</t>
    </r>
  </si>
  <si>
    <t>SKYWALKER-50A-4S-V2</t>
  </si>
  <si>
    <t>Регулятор ходу HOBBYWING SKYWALKER V2 50A 3-4S</t>
  </si>
  <si>
    <t>SKYWALKER-60A-6S-V2</t>
  </si>
  <si>
    <r>
      <rPr>
        <sz val="12"/>
        <color theme="1"/>
        <rFont val="Arial"/>
        <family val="2"/>
      </rPr>
      <t xml:space="preserve">Регулятор ходу HOBBYWING SKYWALKER V2 60A 3-6S з </t>
    </r>
    <r>
      <rPr>
        <b/>
        <sz val="12"/>
        <color theme="1"/>
        <rFont val="Arial"/>
        <family val="2"/>
      </rPr>
      <t>ПДВ</t>
    </r>
  </si>
  <si>
    <t>SKYWALKER-80A-6S-V2</t>
  </si>
  <si>
    <r>
      <rPr>
        <sz val="12"/>
        <color theme="1"/>
        <rFont val="Arial"/>
        <family val="2"/>
      </rPr>
      <t xml:space="preserve">Регулятор ходу HOBBYWING SKYWALKER V2 80A 3-6S з </t>
    </r>
    <r>
      <rPr>
        <b/>
        <sz val="12"/>
        <color theme="1"/>
        <rFont val="Arial"/>
        <family val="2"/>
      </rPr>
      <t>ПДВ</t>
    </r>
  </si>
  <si>
    <t>SKYWALKER-120A-8S-V2</t>
  </si>
  <si>
    <r>
      <rPr>
        <sz val="12"/>
        <color theme="1"/>
        <rFont val="Arial"/>
        <family val="2"/>
      </rPr>
      <t xml:space="preserve">Регулятор ходу HOBBYWING SKYWALKER V2 120A 8S з </t>
    </r>
    <r>
      <rPr>
        <b/>
        <sz val="12"/>
        <color theme="1"/>
        <rFont val="Arial"/>
        <family val="2"/>
      </rPr>
      <t>ПДВ</t>
    </r>
  </si>
  <si>
    <t>Різне</t>
  </si>
  <si>
    <t>M10Q-5883</t>
  </si>
  <si>
    <t>Matek M10Q-5883 (GPS модуль з компасом)</t>
  </si>
  <si>
    <t>ASPD-4525</t>
  </si>
  <si>
    <t>Датчик повітряної швидкості MATEKSYS ASPD-4525</t>
  </si>
  <si>
    <t>ASPD-DLVR</t>
  </si>
  <si>
    <t>Датчик повітряної швидкості MATEKSYS ASPD-DLVR</t>
  </si>
  <si>
    <t>CAN-L4-3100</t>
  </si>
  <si>
    <t>Магнітометр Matek CAN-L4-3100</t>
  </si>
  <si>
    <t>MATEK-PM12S-3</t>
  </si>
  <si>
    <t>Модуль живлення Matek 12S 9-55V 3xBEC xV5V12V</t>
  </si>
  <si>
    <t>CAN-L431</t>
  </si>
  <si>
    <t>Периферійний вузол Matek CAN Node L431</t>
  </si>
  <si>
    <t>Пропелер складний Hobbywing 2480 з адаптером для Xrotor X6 PLUS (CCW)</t>
  </si>
  <si>
    <t>Пропелер складний Hobbywing 2480 з адаптером для Xrotor X6 PLUS (CW)</t>
  </si>
  <si>
    <t>Лопаті складні Hobbywing 3011 без адаптера для Xrotor X8 (CCW)</t>
  </si>
  <si>
    <t>Лопаті складні Hobbywing 3011 без адаптера для Xrotor X8 (CW)</t>
  </si>
  <si>
    <t>Пропелер складаний Hobbywing 3011 з адаптером для Xrotor X8 (CCW)</t>
  </si>
  <si>
    <t>Пропелер складаний Hobbywing 3011 з адаптером для Xrotor X8 (CW)</t>
  </si>
  <si>
    <t>Лопаті складні Hobbywing 3411 без адаптера для Xrotor X9 (CCW)</t>
  </si>
  <si>
    <t>Лопаті складні Hobbywing 3411 без адаптера для Xrotor X9 (CW)</t>
  </si>
  <si>
    <t>Пропелер складаний Hobbywing 3411 з адаптером для Xrotor X9 (CCW)</t>
  </si>
  <si>
    <t>Пропелер складаний Hobbywing 3411 з адаптером для Xrotor X9 (CW)</t>
  </si>
  <si>
    <t>Лопаті складні Hobbywing 36190 без адаптера для Xrotor X9 PLUS (CCW)</t>
  </si>
  <si>
    <t>Лопаті складні Hobbywing 36190 без адаптера для Xrotor X9 PLUS (CW)</t>
  </si>
  <si>
    <t>Пропелер складаний Hobbywing 36190 з адаптером для Xrotor X9 PLUS (CCW)</t>
  </si>
  <si>
    <t>Пропелер складаний Hobbywing 36190 з адаптером для Xrotor X9 PLUS (CW)</t>
  </si>
  <si>
    <t>Пропелер складаний Hobbywing 4314 з адаптером для Xrotor X11 PLUS (CCW)</t>
  </si>
  <si>
    <t>Пропелер складаний Hobbywing 4314 з адаптером для Xrotor X11 PLUS (CW)</t>
  </si>
  <si>
    <t>Пропелер складаний Hobbywing 48175 з адаптером для Xrotor X11 MAX (CCW)</t>
  </si>
  <si>
    <t>Пропелер складаний Hobbywing 48175 з адаптером для Xrotor X11 MAX (CW)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</si>
</sst>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venir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34A85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/>
    <xf numFmtId="0" fontId="4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3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49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A29"/>
  <sheetViews>
    <sheetView tabSelected="1" workbookViewId="0">
      <selection activeCell="N30" sqref="N30"/>
    </sheetView>
  </sheetViews>
  <sheetFormatPr baseColWidth="10" defaultColWidth="12.6640625" defaultRowHeight="15.75" customHeight="1"/>
  <cols>
    <col min="2" max="2" width="28" customWidth="1"/>
    <col min="3" max="3" width="83.1640625" customWidth="1"/>
    <col min="10" max="10" width="18.1640625" customWidth="1"/>
  </cols>
  <sheetData>
    <row r="1" spans="2:27" ht="15.75" customHeight="1">
      <c r="D1" s="12" t="s">
        <v>0</v>
      </c>
      <c r="E1" s="13"/>
      <c r="F1" s="13"/>
      <c r="G1" s="13"/>
      <c r="H1" s="14"/>
      <c r="O1" s="1"/>
    </row>
    <row r="2" spans="2:27" ht="15.75" customHeight="1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</row>
    <row r="3" spans="2:27">
      <c r="B3" s="2" t="s">
        <v>1</v>
      </c>
      <c r="C3" s="2" t="s">
        <v>2</v>
      </c>
      <c r="I3" s="4">
        <v>1.43</v>
      </c>
      <c r="J3" s="4">
        <f t="shared" ref="J3:J29" si="0">D3*I3</f>
        <v>0</v>
      </c>
      <c r="K3" s="4">
        <f t="shared" ref="K3:K29" si="1">J3-D3</f>
        <v>0</v>
      </c>
      <c r="L3" s="4" t="e">
        <f t="shared" ref="L3:L29" si="2">K3/J3</f>
        <v>#DIV/0!</v>
      </c>
    </row>
    <row r="4" spans="2:27">
      <c r="B4" s="9" t="s">
        <v>23</v>
      </c>
      <c r="C4" s="7" t="s">
        <v>24</v>
      </c>
      <c r="D4" s="6">
        <v>1800</v>
      </c>
      <c r="E4" s="6">
        <v>1700</v>
      </c>
      <c r="F4" s="6">
        <v>37</v>
      </c>
      <c r="G4" s="2">
        <v>30</v>
      </c>
      <c r="H4" s="6">
        <v>959</v>
      </c>
      <c r="I4" s="4">
        <v>1.43</v>
      </c>
      <c r="J4" s="4">
        <f t="shared" si="0"/>
        <v>2574</v>
      </c>
      <c r="K4" s="4">
        <f t="shared" si="1"/>
        <v>774</v>
      </c>
      <c r="L4" s="4">
        <f t="shared" si="2"/>
        <v>0.30069930069930068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2:27">
      <c r="B5" s="9" t="s">
        <v>25</v>
      </c>
      <c r="C5" s="7" t="s">
        <v>26</v>
      </c>
      <c r="D5" s="6">
        <v>1800</v>
      </c>
      <c r="E5" s="6">
        <v>1700</v>
      </c>
      <c r="F5" s="6">
        <v>37</v>
      </c>
      <c r="G5" s="2">
        <v>30</v>
      </c>
      <c r="H5" s="6">
        <v>959</v>
      </c>
      <c r="I5" s="4">
        <v>1.43</v>
      </c>
      <c r="J5" s="4">
        <f t="shared" si="0"/>
        <v>2574</v>
      </c>
      <c r="K5" s="4">
        <f t="shared" si="1"/>
        <v>774</v>
      </c>
      <c r="L5" s="4">
        <f t="shared" si="2"/>
        <v>0.30069930069930068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2:27">
      <c r="B6" s="6" t="s">
        <v>27</v>
      </c>
      <c r="C6" s="6"/>
      <c r="D6" s="6"/>
      <c r="E6" s="6"/>
      <c r="F6" s="6"/>
      <c r="G6" s="6"/>
      <c r="H6" s="6"/>
      <c r="I6" s="4">
        <v>1.43</v>
      </c>
      <c r="J6" s="4">
        <f t="shared" si="0"/>
        <v>0</v>
      </c>
      <c r="K6" s="4">
        <f t="shared" si="1"/>
        <v>0</v>
      </c>
      <c r="L6" s="4" t="e">
        <f t="shared" si="2"/>
        <v>#DIV/0!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2:27">
      <c r="B7" s="2" t="s">
        <v>28</v>
      </c>
      <c r="C7" s="7" t="s">
        <v>29</v>
      </c>
      <c r="D7" s="10">
        <v>495</v>
      </c>
      <c r="E7" s="10">
        <v>465</v>
      </c>
      <c r="F7" s="8"/>
      <c r="G7" s="6">
        <v>50</v>
      </c>
      <c r="H7" s="6">
        <v>500</v>
      </c>
      <c r="I7" s="4">
        <v>1.43</v>
      </c>
      <c r="J7" s="4">
        <f t="shared" si="0"/>
        <v>707.85</v>
      </c>
      <c r="K7" s="4">
        <f t="shared" si="1"/>
        <v>212.85000000000002</v>
      </c>
      <c r="L7" s="4">
        <f t="shared" si="2"/>
        <v>0.30069930069930073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2:27">
      <c r="B8" s="2" t="s">
        <v>30</v>
      </c>
      <c r="C8" s="7" t="s">
        <v>31</v>
      </c>
      <c r="D8" s="10">
        <v>1785</v>
      </c>
      <c r="E8" s="10">
        <v>1635</v>
      </c>
      <c r="F8" s="8"/>
      <c r="G8" s="6">
        <v>50</v>
      </c>
      <c r="H8" s="6">
        <v>500</v>
      </c>
      <c r="I8" s="4">
        <v>1.43</v>
      </c>
      <c r="J8" s="4">
        <f t="shared" si="0"/>
        <v>2552.5499999999997</v>
      </c>
      <c r="K8" s="4">
        <f t="shared" si="1"/>
        <v>767.54999999999973</v>
      </c>
      <c r="L8" s="4">
        <f t="shared" si="2"/>
        <v>0.30069930069930062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2:27">
      <c r="B9" s="2" t="s">
        <v>32</v>
      </c>
      <c r="C9" s="7" t="s">
        <v>33</v>
      </c>
      <c r="D9" s="10">
        <v>3525</v>
      </c>
      <c r="E9" s="10">
        <v>3270</v>
      </c>
      <c r="F9" s="8"/>
      <c r="G9" s="6">
        <v>50</v>
      </c>
      <c r="H9" s="6">
        <v>500</v>
      </c>
      <c r="I9" s="4">
        <v>1.43</v>
      </c>
      <c r="J9" s="4">
        <f t="shared" si="0"/>
        <v>5040.75</v>
      </c>
      <c r="K9" s="4">
        <f t="shared" si="1"/>
        <v>1515.75</v>
      </c>
      <c r="L9" s="4">
        <f t="shared" si="2"/>
        <v>0.30069930069930068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2:27">
      <c r="B10" s="2" t="s">
        <v>34</v>
      </c>
      <c r="C10" s="7" t="s">
        <v>35</v>
      </c>
      <c r="D10" s="6">
        <v>220</v>
      </c>
      <c r="E10" s="8"/>
      <c r="F10" s="8"/>
      <c r="G10" s="8"/>
      <c r="H10" s="6">
        <v>13</v>
      </c>
      <c r="I10" s="4">
        <v>1.43</v>
      </c>
      <c r="J10" s="4">
        <f t="shared" si="0"/>
        <v>314.59999999999997</v>
      </c>
      <c r="K10" s="4">
        <f t="shared" si="1"/>
        <v>94.599999999999966</v>
      </c>
      <c r="L10" s="4">
        <f t="shared" si="2"/>
        <v>0.30069930069930062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2:27">
      <c r="B11" s="2" t="s">
        <v>36</v>
      </c>
      <c r="C11" s="7" t="s">
        <v>37</v>
      </c>
      <c r="D11" s="6">
        <v>400</v>
      </c>
      <c r="E11" s="8"/>
      <c r="F11" s="8"/>
      <c r="G11" s="8"/>
      <c r="H11" s="6">
        <v>10</v>
      </c>
      <c r="I11" s="4">
        <v>1.43</v>
      </c>
      <c r="J11" s="4">
        <f t="shared" si="0"/>
        <v>572</v>
      </c>
      <c r="K11" s="4">
        <f t="shared" si="1"/>
        <v>172</v>
      </c>
      <c r="L11" s="4">
        <f t="shared" si="2"/>
        <v>0.30069930069930068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2:27">
      <c r="B12" s="2" t="s">
        <v>38</v>
      </c>
      <c r="C12" s="7" t="s">
        <v>39</v>
      </c>
      <c r="D12" s="6">
        <v>550</v>
      </c>
      <c r="E12" s="8"/>
      <c r="F12" s="8"/>
      <c r="G12" s="8"/>
      <c r="H12" s="6">
        <v>12</v>
      </c>
      <c r="I12" s="4">
        <v>1.43</v>
      </c>
      <c r="J12" s="4">
        <f t="shared" si="0"/>
        <v>786.5</v>
      </c>
      <c r="K12" s="4">
        <f t="shared" si="1"/>
        <v>236.5</v>
      </c>
      <c r="L12" s="4">
        <f t="shared" si="2"/>
        <v>0.30069930069930068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2:27">
      <c r="B13" s="2" t="s">
        <v>40</v>
      </c>
      <c r="C13" s="7" t="s">
        <v>41</v>
      </c>
      <c r="D13" s="6">
        <v>460</v>
      </c>
      <c r="E13" s="8"/>
      <c r="F13" s="8"/>
      <c r="G13" s="8"/>
      <c r="H13" s="6">
        <v>16</v>
      </c>
      <c r="I13" s="4">
        <v>1.43</v>
      </c>
      <c r="J13" s="4">
        <f t="shared" si="0"/>
        <v>657.8</v>
      </c>
      <c r="K13" s="4">
        <f t="shared" si="1"/>
        <v>197.79999999999995</v>
      </c>
      <c r="L13" s="4">
        <f t="shared" si="2"/>
        <v>0.30069930069930068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2:27">
      <c r="B14" s="2" t="s">
        <v>42</v>
      </c>
      <c r="C14" s="7" t="s">
        <v>43</v>
      </c>
      <c r="D14" s="6">
        <v>1050</v>
      </c>
      <c r="E14" s="8"/>
      <c r="F14" s="8"/>
      <c r="G14" s="8"/>
      <c r="H14" s="6">
        <v>37</v>
      </c>
      <c r="I14" s="4">
        <v>1.43</v>
      </c>
      <c r="J14" s="4">
        <f t="shared" si="0"/>
        <v>1501.5</v>
      </c>
      <c r="K14" s="4">
        <f t="shared" si="1"/>
        <v>451.5</v>
      </c>
      <c r="L14" s="4">
        <f t="shared" si="2"/>
        <v>0.30069930069930068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2:27">
      <c r="B15" s="6" t="s">
        <v>44</v>
      </c>
      <c r="C15" s="6"/>
      <c r="D15" s="6"/>
      <c r="E15" s="6"/>
      <c r="F15" s="6"/>
      <c r="G15" s="6"/>
      <c r="H15" s="6"/>
      <c r="I15" s="4">
        <v>1.43</v>
      </c>
      <c r="J15" s="4">
        <f t="shared" si="0"/>
        <v>0</v>
      </c>
      <c r="K15" s="4">
        <f t="shared" si="1"/>
        <v>0</v>
      </c>
      <c r="L15" s="4" t="e">
        <f t="shared" si="2"/>
        <v>#DIV/0!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2:27">
      <c r="B16" s="2" t="s">
        <v>45</v>
      </c>
      <c r="C16" s="7" t="s">
        <v>46</v>
      </c>
      <c r="D16" s="10">
        <v>720</v>
      </c>
      <c r="E16" s="10">
        <v>690</v>
      </c>
      <c r="F16" s="8"/>
      <c r="G16" s="6">
        <v>50</v>
      </c>
      <c r="H16" s="6">
        <v>500</v>
      </c>
      <c r="I16" s="4">
        <v>1.43</v>
      </c>
      <c r="J16" s="4">
        <f t="shared" si="0"/>
        <v>1029.5999999999999</v>
      </c>
      <c r="K16" s="4">
        <f t="shared" si="1"/>
        <v>309.59999999999991</v>
      </c>
      <c r="L16" s="4">
        <f t="shared" si="2"/>
        <v>0.30069930069930062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2:27">
      <c r="B17" s="2" t="s">
        <v>47</v>
      </c>
      <c r="C17" s="7" t="s">
        <v>48</v>
      </c>
      <c r="D17" s="10">
        <v>3690</v>
      </c>
      <c r="E17" s="10">
        <v>3450</v>
      </c>
      <c r="F17" s="8"/>
      <c r="G17" s="6">
        <v>50</v>
      </c>
      <c r="H17" s="6">
        <v>100</v>
      </c>
      <c r="I17" s="4">
        <v>1.43</v>
      </c>
      <c r="J17" s="4">
        <f t="shared" si="0"/>
        <v>5276.7</v>
      </c>
      <c r="K17" s="4">
        <f t="shared" si="1"/>
        <v>1586.6999999999998</v>
      </c>
      <c r="L17" s="4">
        <f t="shared" si="2"/>
        <v>0.30069930069930068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2:27">
      <c r="B18" s="2" t="s">
        <v>49</v>
      </c>
      <c r="C18" s="7" t="s">
        <v>50</v>
      </c>
      <c r="D18" s="10">
        <v>860</v>
      </c>
      <c r="E18" s="10">
        <v>800</v>
      </c>
      <c r="F18" s="8"/>
      <c r="G18" s="6">
        <v>50</v>
      </c>
      <c r="H18" s="6">
        <v>50</v>
      </c>
      <c r="I18" s="4">
        <v>1.43</v>
      </c>
      <c r="J18" s="4">
        <f t="shared" si="0"/>
        <v>1229.8</v>
      </c>
      <c r="K18" s="4">
        <f t="shared" si="1"/>
        <v>369.79999999999995</v>
      </c>
      <c r="L18" s="4">
        <f t="shared" si="2"/>
        <v>0.30069930069930068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2:27">
      <c r="B19" s="2" t="s">
        <v>51</v>
      </c>
      <c r="C19" s="7" t="s">
        <v>52</v>
      </c>
      <c r="D19" s="6">
        <v>1000</v>
      </c>
      <c r="E19" s="8"/>
      <c r="F19" s="8"/>
      <c r="G19" s="8"/>
      <c r="H19" s="6">
        <v>4</v>
      </c>
      <c r="I19" s="4">
        <v>1.43</v>
      </c>
      <c r="J19" s="4">
        <f t="shared" si="0"/>
        <v>1430</v>
      </c>
      <c r="K19" s="4">
        <f t="shared" si="1"/>
        <v>430</v>
      </c>
      <c r="L19" s="4">
        <f t="shared" si="2"/>
        <v>0.30069930069930068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2:27">
      <c r="B20" s="2" t="s">
        <v>53</v>
      </c>
      <c r="C20" s="7" t="s">
        <v>54</v>
      </c>
      <c r="D20" s="10">
        <v>1590</v>
      </c>
      <c r="E20" s="10">
        <v>1480</v>
      </c>
      <c r="F20" s="8"/>
      <c r="G20" s="6">
        <v>50</v>
      </c>
      <c r="H20" s="6">
        <v>50</v>
      </c>
      <c r="I20" s="4">
        <v>1.43</v>
      </c>
      <c r="J20" s="4">
        <f t="shared" si="0"/>
        <v>2273.6999999999998</v>
      </c>
      <c r="K20" s="4">
        <f t="shared" si="1"/>
        <v>683.69999999999982</v>
      </c>
      <c r="L20" s="4">
        <f t="shared" si="2"/>
        <v>0.30069930069930062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2:27">
      <c r="B21" s="2" t="s">
        <v>55</v>
      </c>
      <c r="C21" s="7" t="s">
        <v>56</v>
      </c>
      <c r="D21" s="10">
        <v>1830</v>
      </c>
      <c r="E21" s="10">
        <v>1680</v>
      </c>
      <c r="F21" s="8"/>
      <c r="G21" s="6">
        <v>50</v>
      </c>
      <c r="H21" s="6">
        <v>56</v>
      </c>
      <c r="I21" s="4">
        <v>1.43</v>
      </c>
      <c r="J21" s="4">
        <f t="shared" si="0"/>
        <v>2616.9</v>
      </c>
      <c r="K21" s="4">
        <f t="shared" si="1"/>
        <v>786.90000000000009</v>
      </c>
      <c r="L21" s="4">
        <f t="shared" si="2"/>
        <v>0.30069930069930073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2:27">
      <c r="B22" s="2" t="s">
        <v>57</v>
      </c>
      <c r="C22" s="7" t="s">
        <v>58</v>
      </c>
      <c r="D22" s="10">
        <v>3450</v>
      </c>
      <c r="E22" s="10">
        <v>3180</v>
      </c>
      <c r="F22" s="8"/>
      <c r="G22" s="6">
        <v>50</v>
      </c>
      <c r="H22" s="6">
        <v>50</v>
      </c>
      <c r="I22" s="4">
        <v>1.43</v>
      </c>
      <c r="J22" s="4">
        <f t="shared" si="0"/>
        <v>4933.5</v>
      </c>
      <c r="K22" s="4">
        <f t="shared" si="1"/>
        <v>1483.5</v>
      </c>
      <c r="L22" s="4">
        <f t="shared" si="2"/>
        <v>0.30069930069930068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2:27">
      <c r="B23" s="6" t="s">
        <v>59</v>
      </c>
      <c r="C23" s="6"/>
      <c r="D23" s="6"/>
      <c r="E23" s="6"/>
      <c r="F23" s="6"/>
      <c r="G23" s="6"/>
      <c r="H23" s="6"/>
      <c r="I23" s="4">
        <v>1.43</v>
      </c>
      <c r="J23" s="4">
        <f t="shared" si="0"/>
        <v>0</v>
      </c>
      <c r="K23" s="4">
        <f t="shared" si="1"/>
        <v>0</v>
      </c>
      <c r="L23" s="4" t="e">
        <f t="shared" si="2"/>
        <v>#DIV/0!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2:27">
      <c r="B24" s="2" t="s">
        <v>60</v>
      </c>
      <c r="C24" s="7" t="s">
        <v>61</v>
      </c>
      <c r="D24" s="6">
        <v>2200</v>
      </c>
      <c r="E24" s="8"/>
      <c r="F24" s="8"/>
      <c r="G24" s="8"/>
      <c r="H24" s="6">
        <v>17</v>
      </c>
      <c r="I24" s="4">
        <v>1.43</v>
      </c>
      <c r="J24" s="4">
        <f t="shared" si="0"/>
        <v>3146</v>
      </c>
      <c r="K24" s="4">
        <f t="shared" si="1"/>
        <v>946</v>
      </c>
      <c r="L24" s="4">
        <f t="shared" si="2"/>
        <v>0.30069930069930068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2:27">
      <c r="B25" s="2" t="s">
        <v>62</v>
      </c>
      <c r="C25" s="7" t="s">
        <v>63</v>
      </c>
      <c r="D25" s="6">
        <v>2200</v>
      </c>
      <c r="E25" s="8"/>
      <c r="F25" s="8"/>
      <c r="G25" s="8"/>
      <c r="H25" s="6">
        <v>17</v>
      </c>
      <c r="I25" s="4">
        <v>1.43</v>
      </c>
      <c r="J25" s="4">
        <f t="shared" si="0"/>
        <v>3146</v>
      </c>
      <c r="K25" s="4">
        <f t="shared" si="1"/>
        <v>946</v>
      </c>
      <c r="L25" s="4">
        <f t="shared" si="2"/>
        <v>0.30069930069930068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2:27">
      <c r="B26" s="2" t="s">
        <v>64</v>
      </c>
      <c r="C26" s="7" t="s">
        <v>65</v>
      </c>
      <c r="D26" s="6">
        <v>4500</v>
      </c>
      <c r="E26" s="8"/>
      <c r="F26" s="8"/>
      <c r="G26" s="8"/>
      <c r="H26" s="6">
        <v>2</v>
      </c>
      <c r="I26" s="4">
        <v>1.43</v>
      </c>
      <c r="J26" s="4">
        <f t="shared" si="0"/>
        <v>6435</v>
      </c>
      <c r="K26" s="4">
        <f t="shared" si="1"/>
        <v>1935</v>
      </c>
      <c r="L26" s="4">
        <f t="shared" si="2"/>
        <v>0.30069930069930068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2:27">
      <c r="B27" s="2" t="s">
        <v>66</v>
      </c>
      <c r="C27" s="7" t="s">
        <v>67</v>
      </c>
      <c r="D27" s="6">
        <v>2000</v>
      </c>
      <c r="E27" s="8"/>
      <c r="F27" s="8"/>
      <c r="G27" s="8"/>
      <c r="H27" s="6">
        <v>63</v>
      </c>
      <c r="I27" s="4">
        <v>1.43</v>
      </c>
      <c r="J27" s="4">
        <f t="shared" si="0"/>
        <v>2860</v>
      </c>
      <c r="K27" s="4">
        <f t="shared" si="1"/>
        <v>860</v>
      </c>
      <c r="L27" s="4">
        <f t="shared" si="2"/>
        <v>0.30069930069930068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2:27">
      <c r="B28" s="2" t="s">
        <v>68</v>
      </c>
      <c r="C28" s="7" t="s">
        <v>69</v>
      </c>
      <c r="D28" s="6">
        <v>2400</v>
      </c>
      <c r="E28" s="8"/>
      <c r="F28" s="8"/>
      <c r="G28" s="8"/>
      <c r="H28" s="6">
        <v>6</v>
      </c>
      <c r="I28" s="4">
        <v>1.43</v>
      </c>
      <c r="J28" s="4">
        <f t="shared" si="0"/>
        <v>3432</v>
      </c>
      <c r="K28" s="4">
        <f t="shared" si="1"/>
        <v>1032</v>
      </c>
      <c r="L28" s="4">
        <f t="shared" si="2"/>
        <v>0.30069930069930068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2:27">
      <c r="B29" s="2" t="s">
        <v>70</v>
      </c>
      <c r="C29" s="7" t="s">
        <v>71</v>
      </c>
      <c r="D29" s="6">
        <v>800</v>
      </c>
      <c r="E29" s="8"/>
      <c r="F29" s="8"/>
      <c r="G29" s="8"/>
      <c r="H29" s="6">
        <v>27</v>
      </c>
      <c r="I29" s="4">
        <v>1.43</v>
      </c>
      <c r="J29" s="4">
        <f t="shared" si="0"/>
        <v>1144</v>
      </c>
      <c r="K29" s="4">
        <f t="shared" si="1"/>
        <v>344</v>
      </c>
      <c r="L29" s="4">
        <f t="shared" si="2"/>
        <v>0.30069930069930068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</sheetData>
  <mergeCells count="1"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G19"/>
  <sheetViews>
    <sheetView workbookViewId="0"/>
  </sheetViews>
  <sheetFormatPr baseColWidth="10" defaultColWidth="12.6640625" defaultRowHeight="15.75" customHeight="1"/>
  <cols>
    <col min="2" max="2" width="81.1640625" customWidth="1"/>
    <col min="3" max="6" width="12.6640625" hidden="1"/>
  </cols>
  <sheetData>
    <row r="1" spans="2:7" ht="15.75" customHeight="1">
      <c r="C1" s="4" t="s">
        <v>3</v>
      </c>
      <c r="D1" s="4" t="s">
        <v>4</v>
      </c>
      <c r="F1" s="4" t="s">
        <v>6</v>
      </c>
      <c r="G1" s="11" t="s">
        <v>7</v>
      </c>
    </row>
    <row r="2" spans="2:7">
      <c r="B2" s="7" t="s">
        <v>72</v>
      </c>
      <c r="C2" s="2">
        <v>1160</v>
      </c>
      <c r="D2" s="2">
        <v>1050</v>
      </c>
      <c r="E2" s="2">
        <v>22.5</v>
      </c>
      <c r="F2" s="2">
        <v>10</v>
      </c>
      <c r="G2" s="6">
        <v>0</v>
      </c>
    </row>
    <row r="3" spans="2:7">
      <c r="B3" s="7" t="s">
        <v>73</v>
      </c>
      <c r="C3" s="2">
        <v>1160</v>
      </c>
      <c r="D3" s="2">
        <v>1050</v>
      </c>
      <c r="E3" s="2">
        <v>22.5</v>
      </c>
      <c r="F3" s="2">
        <v>10</v>
      </c>
      <c r="G3" s="6">
        <v>0</v>
      </c>
    </row>
    <row r="4" spans="2:7">
      <c r="B4" s="7" t="s">
        <v>74</v>
      </c>
      <c r="C4" s="2">
        <v>1100</v>
      </c>
      <c r="D4" s="2">
        <v>1000</v>
      </c>
      <c r="E4" s="2">
        <v>20</v>
      </c>
      <c r="F4" s="2">
        <v>10</v>
      </c>
      <c r="G4" s="6">
        <v>338</v>
      </c>
    </row>
    <row r="5" spans="2:7">
      <c r="B5" s="7" t="s">
        <v>75</v>
      </c>
      <c r="C5" s="2">
        <v>1100</v>
      </c>
      <c r="D5" s="2">
        <v>1000</v>
      </c>
      <c r="E5" s="2">
        <v>20</v>
      </c>
      <c r="F5" s="2">
        <v>10</v>
      </c>
      <c r="G5" s="6">
        <v>327</v>
      </c>
    </row>
    <row r="6" spans="2:7">
      <c r="B6" s="7" t="s">
        <v>76</v>
      </c>
      <c r="C6" s="2">
        <v>1620</v>
      </c>
      <c r="D6" s="2">
        <v>1520</v>
      </c>
      <c r="E6" s="2">
        <v>29</v>
      </c>
      <c r="F6" s="2">
        <v>10</v>
      </c>
      <c r="G6" s="6">
        <v>9</v>
      </c>
    </row>
    <row r="7" spans="2:7">
      <c r="B7" s="7" t="s">
        <v>77</v>
      </c>
      <c r="C7" s="2">
        <v>1620</v>
      </c>
      <c r="D7" s="2">
        <v>1520</v>
      </c>
      <c r="E7" s="2">
        <v>29</v>
      </c>
      <c r="F7" s="2">
        <v>10</v>
      </c>
      <c r="G7" s="6">
        <v>6</v>
      </c>
    </row>
    <row r="8" spans="2:7">
      <c r="B8" s="7" t="s">
        <v>78</v>
      </c>
      <c r="C8" s="2">
        <v>1620</v>
      </c>
      <c r="D8" s="2">
        <v>1520</v>
      </c>
      <c r="E8" s="2">
        <v>29</v>
      </c>
      <c r="F8" s="2">
        <v>10</v>
      </c>
      <c r="G8" s="6">
        <v>1180</v>
      </c>
    </row>
    <row r="9" spans="2:7">
      <c r="B9" s="7" t="s">
        <v>79</v>
      </c>
      <c r="C9" s="2">
        <v>1620</v>
      </c>
      <c r="D9" s="2">
        <v>1520</v>
      </c>
      <c r="E9" s="2">
        <v>29</v>
      </c>
      <c r="F9" s="2">
        <v>10</v>
      </c>
      <c r="G9" s="6">
        <v>1181</v>
      </c>
    </row>
    <row r="10" spans="2:7">
      <c r="B10" s="7" t="s">
        <v>80</v>
      </c>
      <c r="C10" s="2">
        <v>2080</v>
      </c>
      <c r="D10" s="2">
        <v>1980</v>
      </c>
      <c r="E10" s="2">
        <v>40</v>
      </c>
      <c r="F10" s="2">
        <v>10</v>
      </c>
      <c r="G10" s="6">
        <v>120</v>
      </c>
    </row>
    <row r="11" spans="2:7">
      <c r="B11" s="7" t="s">
        <v>81</v>
      </c>
      <c r="C11" s="2">
        <v>2080</v>
      </c>
      <c r="D11" s="2">
        <v>1980</v>
      </c>
      <c r="E11" s="2">
        <v>40</v>
      </c>
      <c r="F11" s="2">
        <v>10</v>
      </c>
      <c r="G11" s="6">
        <v>120</v>
      </c>
    </row>
    <row r="12" spans="2:7">
      <c r="B12" s="7" t="s">
        <v>82</v>
      </c>
      <c r="C12" s="2">
        <v>1480</v>
      </c>
      <c r="D12" s="2">
        <v>1380</v>
      </c>
      <c r="E12" s="2">
        <v>29</v>
      </c>
      <c r="F12" s="2">
        <v>10</v>
      </c>
      <c r="G12" s="6">
        <v>555</v>
      </c>
    </row>
    <row r="13" spans="2:7">
      <c r="B13" s="7" t="s">
        <v>83</v>
      </c>
      <c r="C13" s="2">
        <v>1480</v>
      </c>
      <c r="D13" s="2">
        <v>1380</v>
      </c>
      <c r="E13" s="2">
        <v>29</v>
      </c>
      <c r="F13" s="2">
        <v>10</v>
      </c>
      <c r="G13" s="6">
        <v>554</v>
      </c>
    </row>
    <row r="14" spans="2:7">
      <c r="B14" s="7" t="s">
        <v>84</v>
      </c>
      <c r="C14" s="2">
        <v>2290</v>
      </c>
      <c r="D14" s="2">
        <v>2190</v>
      </c>
      <c r="E14" s="2">
        <v>44</v>
      </c>
      <c r="F14" s="2">
        <v>10</v>
      </c>
      <c r="G14" s="6">
        <v>85</v>
      </c>
    </row>
    <row r="15" spans="2:7">
      <c r="B15" s="7" t="s">
        <v>85</v>
      </c>
      <c r="C15" s="2">
        <v>2290</v>
      </c>
      <c r="D15" s="2">
        <v>2190</v>
      </c>
      <c r="E15" s="2">
        <v>44</v>
      </c>
      <c r="F15" s="2">
        <v>10</v>
      </c>
      <c r="G15" s="6">
        <v>85</v>
      </c>
    </row>
    <row r="16" spans="2:7">
      <c r="B16" s="7" t="s">
        <v>86</v>
      </c>
      <c r="C16" s="2">
        <v>3100</v>
      </c>
      <c r="D16" s="2">
        <v>2750</v>
      </c>
      <c r="E16" s="2">
        <v>70</v>
      </c>
      <c r="F16" s="2">
        <v>10</v>
      </c>
      <c r="G16" s="6">
        <v>255</v>
      </c>
    </row>
    <row r="17" spans="2:7">
      <c r="B17" s="7" t="s">
        <v>87</v>
      </c>
      <c r="C17" s="2">
        <v>3100</v>
      </c>
      <c r="D17" s="2">
        <v>2750</v>
      </c>
      <c r="E17" s="2">
        <v>70</v>
      </c>
      <c r="F17" s="2">
        <v>10</v>
      </c>
      <c r="G17" s="6">
        <v>255</v>
      </c>
    </row>
    <row r="18" spans="2:7">
      <c r="B18" s="7" t="s">
        <v>88</v>
      </c>
      <c r="C18" s="2">
        <v>5850</v>
      </c>
      <c r="D18" s="8"/>
      <c r="E18" s="2">
        <v>132</v>
      </c>
      <c r="F18" s="8"/>
      <c r="G18" s="6">
        <v>34</v>
      </c>
    </row>
    <row r="19" spans="2:7">
      <c r="B19" s="7" t="s">
        <v>89</v>
      </c>
      <c r="C19" s="2">
        <v>5850</v>
      </c>
      <c r="D19" s="8"/>
      <c r="E19" s="2">
        <v>132</v>
      </c>
      <c r="F19" s="8"/>
      <c r="G19" s="6">
        <v>34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Yushchenko</cp:lastModifiedBy>
  <dcterms:modified xsi:type="dcterms:W3CDTF">2026-03-02T10:52:32Z</dcterms:modified>
</cp:coreProperties>
</file>